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-COM TIP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<sst xmlns="http://schemas.openxmlformats.org/spreadsheetml/2006/main" count="135" uniqueCount="107">
  <si>
    <t xml:space="preserve">سلسلة E-COM TIP — معلومة وحدة في كل فيديو  •  @kabli_ms</t>
  </si>
  <si>
    <t xml:space="preserve">نهار البداية:</t>
  </si>
  <si>
    <t xml:space="preserve">← بدّل غير الخانات الصفراء: نهار البداية والحالة. التواريخ تتحسب وحدها: 3 فيديوهات في الجمعة (الأحد، الثلاثاء، الخميس).</t>
  </si>
  <si>
    <t xml:space="preserve">منشورين:</t>
  </si>
  <si>
    <t xml:space="preserve">CTA في آخر كل فيديو: «تابعني باش ما تفوتكش TIP الجاي. وحاب تبدا الـ sponsor؟ ابعثلي واتساب 0550 20 54 64»</t>
  </si>
  <si>
    <t xml:space="preserve">#</t>
  </si>
  <si>
    <t xml:space="preserve">الموضوع</t>
  </si>
  <si>
    <t xml:space="preserve">الهوك (0-2 ث)</t>
  </si>
  <si>
    <t xml:space="preserve">المعلومة</t>
  </si>
  <si>
    <t xml:space="preserve">المثال</t>
  </si>
  <si>
    <t xml:space="preserve">الكلمات في الشاشة</t>
  </si>
  <si>
    <t xml:space="preserve">النهار</t>
  </si>
  <si>
    <t xml:space="preserve">التاريخ</t>
  </si>
  <si>
    <t xml:space="preserve">الهوك في المونتاج</t>
  </si>
  <si>
    <t xml:space="preserve">الحالة</t>
  </si>
  <si>
    <t xml:space="preserve">#01</t>
  </si>
  <si>
    <t xml:space="preserve">Confirmation</t>
  </si>
  <si>
    <t xml:space="preserve">كوموند ما تكونفيرميهاش في نفس النهار؟ احسبها retour</t>
  </si>
  <si>
    <t xml:space="preserve">الكليان حاب المنتوج دروك؛ غدوة ينسى ولا يشري من عند واحد آخر</t>
  </si>
  <si>
    <t xml:space="preserve">كل ساعة شوف الكوموندات الجداد وعيّط</t>
  </si>
  <si>
    <t xml:space="preserve">confirmation 📞 · نفس النهار · retour ❌</t>
  </si>
  <si>
    <t xml:space="preserve">ما بديتش</t>
  </si>
  <si>
    <t xml:space="preserve">#02</t>
  </si>
  <si>
    <t xml:space="preserve">صور المنتوج</t>
  </si>
  <si>
    <t xml:space="preserve">صور AliExpress ما يبيعوش</t>
  </si>
  <si>
    <t xml:space="preserve">نفس الصورة عند بزاف تاع البائعين؛ صورة حقيقية تعطي ثقة</t>
  </si>
  <si>
    <t xml:space="preserve">صوّر بالتليفون في ضو النهار، 3 جيهات + فيديو قصير</t>
  </si>
  <si>
    <t xml:space="preserve">صور حقيقية 📸 · confiance 🤝</t>
  </si>
  <si>
    <t xml:space="preserve">#03</t>
  </si>
  <si>
    <t xml:space="preserve">الربح الحقيقي</t>
  </si>
  <si>
    <t xml:space="preserve">راك تربح ولا تحسب غلط؟</t>
  </si>
  <si>
    <t xml:space="preserve">الربح = البيع ناقص الشراء، livraison، pub، retours</t>
  </si>
  <si>
    <t xml:space="preserve">اكتبها في ورقة لكل كوموند</t>
  </si>
  <si>
    <t xml:space="preserve">الربح الحقيقي 💰 · pub · retours</t>
  </si>
  <si>
    <t xml:space="preserve">#04</t>
  </si>
  <si>
    <t xml:space="preserve">جاوب بالزربة</t>
  </si>
  <si>
    <t xml:space="preserve">الميساج اللي تجاوبو غدوة، كليان راح</t>
  </si>
  <si>
    <t xml:space="preserve">الكليان يبعث لبزاف تاع البائعين؛ اللي يجاوب الأول يبيع</t>
  </si>
  <si>
    <t xml:space="preserve">réponses rapides في WhatsApp Business / Messenger</t>
  </si>
  <si>
    <t xml:space="preserve">جاوب بالزربة 💬</t>
  </si>
  <si>
    <t xml:space="preserve">#05</t>
  </si>
  <si>
    <t xml:space="preserve">هوك الإعلان</t>
  </si>
  <si>
    <t xml:space="preserve">الإعلان تاعك يخسر في 3 ثواني الأولى</t>
  </si>
  <si>
    <t xml:space="preserve">الناس يسكرولي بالزربة؛ البداية لازم تشدهم</t>
  </si>
  <si>
    <t xml:space="preserve">ابدا بالمشكل ولا النتيجة، ماشي «السلام عليكم اليوم جبتلكم»</t>
  </si>
  <si>
    <t xml:space="preserve">3 ثواني ⏱️ · ابدا بالمشكل</t>
  </si>
  <si>
    <t xml:space="preserve">#06</t>
  </si>
  <si>
    <t xml:space="preserve">جرّب أكثر من إعلان</t>
  </si>
  <si>
    <t xml:space="preserve">إعلان واحد = حظ</t>
  </si>
  <si>
    <t xml:space="preserve">ما تعرفش واش يعجب الناس حتى تجرب</t>
  </si>
  <si>
    <t xml:space="preserve">2 ولا 3 فيديوهات بهوك مختلف، نفس البيدجي، خلّي الرابح</t>
  </si>
  <si>
    <t xml:space="preserve">test 🎬</t>
  </si>
  <si>
    <t xml:space="preserve">#07</t>
  </si>
  <si>
    <t xml:space="preserve">الإعلان الرابح</t>
  </si>
  <si>
    <t xml:space="preserve">الإعلان راه يجيب؟ ما تقيسوش</t>
  </si>
  <si>
    <t xml:space="preserve">كل تبديل يخلّي Meta تعاود تتعلم من الصفر</t>
  </si>
  <si>
    <t xml:space="preserve">حاجة جديدة = إعلان جديد جنبو</t>
  </si>
  <si>
    <t xml:space="preserve">ما تقيسوش ✋</t>
  </si>
  <si>
    <t xml:space="preserve">#08</t>
  </si>
  <si>
    <t xml:space="preserve">البيدجي بالشوية</t>
  </si>
  <si>
    <t xml:space="preserve">زدت البيدجي ضعف وطاح كلش؟</t>
  </si>
  <si>
    <t xml:space="preserve">الزيادة الكبيرة مرة وحدة تخلط الإعلان</t>
  </si>
  <si>
    <t xml:space="preserve">زيد حوالي 20% كل 2 ولا 3 أيام</t>
  </si>
  <si>
    <t xml:space="preserve">بالشوية 📈</t>
  </si>
  <si>
    <t xml:space="preserve">#09</t>
  </si>
  <si>
    <t xml:space="preserve">Pixel Meta</t>
  </si>
  <si>
    <t xml:space="preserve">بلا Pixel راك تعلن بلا عينين</t>
  </si>
  <si>
    <t xml:space="preserve">Pixel يقول لـ Meta شكون شرا باش تجيب ناس كيفهم</t>
  </si>
  <si>
    <t xml:space="preserve">ركّبو في الستور وتأكد يسجل الكوموندات</t>
  </si>
  <si>
    <t xml:space="preserve">Pixel Meta 🎯</t>
  </si>
  <si>
    <t xml:space="preserve">#10</t>
  </si>
  <si>
    <t xml:space="preserve">آراء الكليان</t>
  </si>
  <si>
    <t xml:space="preserve">الكليان ما يتيقش فيك؟ خلّي كليان آخر يهدر</t>
  </si>
  <si>
    <t xml:space="preserve">الناس يتيقو في كليان كيفهم أكثر من البائع</t>
  </si>
  <si>
    <t xml:space="preserve">اطلب فيديو ولا صورة رأي بعد التوصيل (بالإذن تاعو)</t>
  </si>
  <si>
    <t xml:space="preserve">آراء الكليان ⭐</t>
  </si>
  <si>
    <t xml:space="preserve">#11</t>
  </si>
  <si>
    <t xml:space="preserve">Offre / bundle</t>
  </si>
  <si>
    <t xml:space="preserve">زيد للكليان سبة باش يشري جوج</t>
  </si>
  <si>
    <t xml:space="preserve">(السكريبت من بعد)</t>
  </si>
  <si>
    <t xml:space="preserve">#12</t>
  </si>
  <si>
    <t xml:space="preserve">Livraison</t>
  </si>
  <si>
    <t xml:space="preserve">اختار société de livraison مليحة، الـ retour يكلفك</t>
  </si>
  <si>
    <t xml:space="preserve">#13</t>
  </si>
  <si>
    <t xml:space="preserve">Angle différent</t>
  </si>
  <si>
    <t xml:space="preserve">الموديل يتسرق، الطريقة تاعك ما تتسرقش</t>
  </si>
  <si>
    <t xml:space="preserve">#14</t>
  </si>
  <si>
    <t xml:space="preserve">ميساج التأكيد</t>
  </si>
  <si>
    <t xml:space="preserve">ميساج واتساب واحد ينقص الـ retours</t>
  </si>
  <si>
    <t xml:space="preserve">#15</t>
  </si>
  <si>
    <t xml:space="preserve">منتوج saturé</t>
  </si>
  <si>
    <t xml:space="preserve">المنتوج اللي راه عند الكل صعيب تربح فيه</t>
  </si>
  <si>
    <t xml:space="preserve">#16</t>
  </si>
  <si>
    <t xml:space="preserve">الاسم واللوغو</t>
  </si>
  <si>
    <t xml:space="preserve">ماركة بسيطة = ثقة أكثر</t>
  </si>
  <si>
    <t xml:space="preserve">#17</t>
  </si>
  <si>
    <t xml:space="preserve">وصف المنتوج</t>
  </si>
  <si>
    <t xml:space="preserve">اكتب الفايدة، ماشي غير المواصفات</t>
  </si>
  <si>
    <t xml:space="preserve">#18</t>
  </si>
  <si>
    <t xml:space="preserve">تتبّع الأرقام</t>
  </si>
  <si>
    <t xml:space="preserve">اكتب كل نهار: pub، commandes، retours</t>
  </si>
  <si>
    <t xml:space="preserve">#19</t>
  </si>
  <si>
    <t xml:space="preserve">Landing page</t>
  </si>
  <si>
    <t xml:space="preserve">ميساجات بزاف وكوموند قليلة؟ جرّب landing page</t>
  </si>
  <si>
    <t xml:space="preserve">#20</t>
  </si>
  <si>
    <t xml:space="preserve">آراء بالفيديو</t>
  </si>
  <si>
    <t xml:space="preserve">فيديو كليان راضي يبني الثقة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</si>
</sst>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5B21B6"/>
      <name val="Arial"/>
      <family val="0"/>
      <charset val="1"/>
    </font>
    <font>
      <sz val="11"/>
      <color rgb="FF2A1B5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5B21B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40B34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2A1B5E"/>
        <bgColor rgb="FF140B34"/>
      </patternFill>
    </fill>
    <fill>
      <patternFill patternType="solid">
        <fgColor rgb="FFEDE9FE"/>
        <bgColor rgb="FFFFFFFF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4B5FD"/>
      </left>
      <right style="thin">
        <color rgb="FFC4B5FD"/>
      </right>
      <top style="thin">
        <color rgb="FFC4B5FD"/>
      </top>
      <bottom style="thin">
        <color rgb="FFC4B5F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BF7D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B34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DE9FE"/>
      <rgbColor rgb="FF660066"/>
      <rgbColor rgb="FFFF8080"/>
      <rgbColor rgb="FF0066CC"/>
      <rgbColor rgb="FFC4B5F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BF7D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B21B6"/>
      <rgbColor rgb="FF2A1B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3" t="n">
        <v>46306</v>
      </c>
      <c r="C2" s="4" t="s">
        <v>2</v>
      </c>
      <c r="D2" s="4"/>
      <c r="E2" s="4"/>
      <c r="F2" s="4"/>
      <c r="G2" s="4"/>
      <c r="H2" s="4"/>
      <c r="I2" s="4"/>
      <c r="J2" s="4"/>
    </row>
    <row r="3" customFormat="false" ht="15" hidden="false" customHeight="false" outlineLevel="0" collapsed="false">
      <c r="A3" s="2" t="s">
        <v>3</v>
      </c>
      <c r="B3" s="2" t="str">
        <f aca="false">COUNTIF(J6:J25,"نشرت ✅")&amp;" / "&amp;COUNTA(B6:B25)</f>
        <v>0 / 20</v>
      </c>
      <c r="C3" s="5" t="s">
        <v>4</v>
      </c>
      <c r="D3" s="5"/>
      <c r="E3" s="5"/>
      <c r="F3" s="5"/>
      <c r="G3" s="5"/>
      <c r="H3" s="5"/>
      <c r="I3" s="5"/>
      <c r="J3" s="5"/>
    </row>
    <row r="5" customFormat="false" ht="25.5" hidden="false" customHeight="true" outlineLevel="0" collapsed="false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I5" s="6" t="s">
        <v>13</v>
      </c>
      <c r="J5" s="6" t="s">
        <v>14</v>
      </c>
    </row>
    <row r="6" customFormat="false" ht="48" hidden="false" customHeight="true" outlineLevel="0" collapsed="false">
      <c r="A6" s="7" t="s">
        <v>15</v>
      </c>
      <c r="B6" s="8" t="s">
        <v>16</v>
      </c>
      <c r="C6" s="9" t="s">
        <v>17</v>
      </c>
      <c r="D6" s="9" t="s">
        <v>18</v>
      </c>
      <c r="E6" s="9" t="s">
        <v>19</v>
      </c>
      <c r="F6" s="9" t="s">
        <v>20</v>
      </c>
      <c r="G6" s="10" t="str">
        <f aca="false">CHOOSE(WEEKDAY(H6),"الأحد","الإثنين","الثلاثاء","الأربعاء","الخميس","الجمعة","السبت")</f>
        <v>الأحد</v>
      </c>
      <c r="H6" s="11" t="n">
        <f aca="false">$B$2+INT((6-6)/3)*7+CHOOSE(MOD(6-6,3)+1,0,2,4)</f>
        <v>46306</v>
      </c>
      <c r="I6" s="9" t="str">
        <f aca="false">"E-COM TIP "&amp;A6</f>
        <v>E-COM TIP #01</v>
      </c>
      <c r="J6" s="12" t="s">
        <v>21</v>
      </c>
    </row>
    <row r="7" customFormat="false" ht="48" hidden="false" customHeight="true" outlineLevel="0" collapsed="false">
      <c r="A7" s="13" t="s">
        <v>22</v>
      </c>
      <c r="B7" s="14" t="s">
        <v>23</v>
      </c>
      <c r="C7" s="15" t="s">
        <v>24</v>
      </c>
      <c r="D7" s="15" t="s">
        <v>25</v>
      </c>
      <c r="E7" s="15" t="s">
        <v>26</v>
      </c>
      <c r="F7" s="15" t="s">
        <v>27</v>
      </c>
      <c r="G7" s="16" t="str">
        <f aca="false">CHOOSE(WEEKDAY(H7),"الأحد","الإثنين","الثلاثاء","الأربعاء","الخميس","الجمعة","السبت")</f>
        <v>الثلاثاء</v>
      </c>
      <c r="H7" s="17" t="n">
        <f aca="false">$B$2+INT((7-6)/3)*7+CHOOSE(MOD(7-6,3)+1,0,2,4)</f>
        <v>46308</v>
      </c>
      <c r="I7" s="15" t="str">
        <f aca="false">"E-COM TIP "&amp;A7</f>
        <v>E-COM TIP #02</v>
      </c>
      <c r="J7" s="12" t="s">
        <v>21</v>
      </c>
    </row>
    <row r="8" customFormat="false" ht="48" hidden="false" customHeight="true" outlineLevel="0" collapsed="false">
      <c r="A8" s="7" t="s">
        <v>28</v>
      </c>
      <c r="B8" s="8" t="s">
        <v>29</v>
      </c>
      <c r="C8" s="9" t="s">
        <v>30</v>
      </c>
      <c r="D8" s="9" t="s">
        <v>31</v>
      </c>
      <c r="E8" s="9" t="s">
        <v>32</v>
      </c>
      <c r="F8" s="9" t="s">
        <v>33</v>
      </c>
      <c r="G8" s="10" t="str">
        <f aca="false">CHOOSE(WEEKDAY(H8),"الأحد","الإثنين","الثلاثاء","الأربعاء","الخميس","الجمعة","السبت")</f>
        <v>الخميس</v>
      </c>
      <c r="H8" s="11" t="n">
        <f aca="false">$B$2+INT((8-6)/3)*7+CHOOSE(MOD(8-6,3)+1,0,2,4)</f>
        <v>46310</v>
      </c>
      <c r="I8" s="9" t="str">
        <f aca="false">"E-COM TIP "&amp;A8</f>
        <v>E-COM TIP #03</v>
      </c>
      <c r="J8" s="12" t="s">
        <v>21</v>
      </c>
    </row>
    <row r="9" customFormat="false" ht="48" hidden="false" customHeight="true" outlineLevel="0" collapsed="false">
      <c r="A9" s="13" t="s">
        <v>34</v>
      </c>
      <c r="B9" s="14" t="s">
        <v>35</v>
      </c>
      <c r="C9" s="15" t="s">
        <v>36</v>
      </c>
      <c r="D9" s="15" t="s">
        <v>37</v>
      </c>
      <c r="E9" s="15" t="s">
        <v>38</v>
      </c>
      <c r="F9" s="15" t="s">
        <v>39</v>
      </c>
      <c r="G9" s="16" t="str">
        <f aca="false">CHOOSE(WEEKDAY(H9),"الأحد","الإثنين","الثلاثاء","الأربعاء","الخميس","الجمعة","السبت")</f>
        <v>الأحد</v>
      </c>
      <c r="H9" s="17" t="n">
        <f aca="false">$B$2+INT((9-6)/3)*7+CHOOSE(MOD(9-6,3)+1,0,2,4)</f>
        <v>46313</v>
      </c>
      <c r="I9" s="15" t="str">
        <f aca="false">"E-COM TIP "&amp;A9</f>
        <v>E-COM TIP #04</v>
      </c>
      <c r="J9" s="12" t="s">
        <v>21</v>
      </c>
    </row>
    <row r="10" customFormat="false" ht="48" hidden="false" customHeight="true" outlineLevel="0" collapsed="false">
      <c r="A10" s="7" t="s">
        <v>40</v>
      </c>
      <c r="B10" s="8" t="s">
        <v>41</v>
      </c>
      <c r="C10" s="9" t="s">
        <v>42</v>
      </c>
      <c r="D10" s="9" t="s">
        <v>43</v>
      </c>
      <c r="E10" s="9" t="s">
        <v>44</v>
      </c>
      <c r="F10" s="9" t="s">
        <v>45</v>
      </c>
      <c r="G10" s="10" t="str">
        <f aca="false">CHOOSE(WEEKDAY(H10),"الأحد","الإثنين","الثلاثاء","الأربعاء","الخميس","الجمعة","السبت")</f>
        <v>الثلاثاء</v>
      </c>
      <c r="H10" s="11" t="n">
        <f aca="false">$B$2+INT((10-6)/3)*7+CHOOSE(MOD(10-6,3)+1,0,2,4)</f>
        <v>46315</v>
      </c>
      <c r="I10" s="9" t="str">
        <f aca="false">"E-COM TIP "&amp;A10</f>
        <v>E-COM TIP #05</v>
      </c>
      <c r="J10" s="12" t="s">
        <v>21</v>
      </c>
    </row>
    <row r="11" customFormat="false" ht="48" hidden="false" customHeight="true" outlineLevel="0" collapsed="false">
      <c r="A11" s="13" t="s">
        <v>46</v>
      </c>
      <c r="B11" s="14" t="s">
        <v>47</v>
      </c>
      <c r="C11" s="15" t="s">
        <v>48</v>
      </c>
      <c r="D11" s="15" t="s">
        <v>49</v>
      </c>
      <c r="E11" s="15" t="s">
        <v>50</v>
      </c>
      <c r="F11" s="15" t="s">
        <v>51</v>
      </c>
      <c r="G11" s="16" t="str">
        <f aca="false">CHOOSE(WEEKDAY(H11),"الأحد","الإثنين","الثلاثاء","الأربعاء","الخميس","الجمعة","السبت")</f>
        <v>الخميس</v>
      </c>
      <c r="H11" s="17" t="n">
        <f aca="false">$B$2+INT((11-6)/3)*7+CHOOSE(MOD(11-6,3)+1,0,2,4)</f>
        <v>46317</v>
      </c>
      <c r="I11" s="15" t="str">
        <f aca="false">"E-COM TIP "&amp;A11</f>
        <v>E-COM TIP #06</v>
      </c>
      <c r="J11" s="12" t="s">
        <v>21</v>
      </c>
    </row>
    <row r="12" customFormat="false" ht="48" hidden="false" customHeight="true" outlineLevel="0" collapsed="false">
      <c r="A12" s="7" t="s">
        <v>52</v>
      </c>
      <c r="B12" s="8" t="s">
        <v>53</v>
      </c>
      <c r="C12" s="9" t="s">
        <v>54</v>
      </c>
      <c r="D12" s="9" t="s">
        <v>55</v>
      </c>
      <c r="E12" s="9" t="s">
        <v>56</v>
      </c>
      <c r="F12" s="9" t="s">
        <v>57</v>
      </c>
      <c r="G12" s="10" t="str">
        <f aca="false">CHOOSE(WEEKDAY(H12),"الأحد","الإثنين","الثلاثاء","الأربعاء","الخميس","الجمعة","السبت")</f>
        <v>الأحد</v>
      </c>
      <c r="H12" s="11" t="n">
        <f aca="false">$B$2+INT((12-6)/3)*7+CHOOSE(MOD(12-6,3)+1,0,2,4)</f>
        <v>46320</v>
      </c>
      <c r="I12" s="9" t="str">
        <f aca="false">"E-COM TIP "&amp;A12</f>
        <v>E-COM TIP #07</v>
      </c>
      <c r="J12" s="12" t="s">
        <v>21</v>
      </c>
    </row>
    <row r="13" customFormat="false" ht="48" hidden="false" customHeight="true" outlineLevel="0" collapsed="false">
      <c r="A13" s="13" t="s">
        <v>58</v>
      </c>
      <c r="B13" s="14" t="s">
        <v>59</v>
      </c>
      <c r="C13" s="15" t="s">
        <v>60</v>
      </c>
      <c r="D13" s="15" t="s">
        <v>61</v>
      </c>
      <c r="E13" s="15" t="s">
        <v>62</v>
      </c>
      <c r="F13" s="15" t="s">
        <v>63</v>
      </c>
      <c r="G13" s="16" t="str">
        <f aca="false">CHOOSE(WEEKDAY(H13),"الأحد","الإثنين","الثلاثاء","الأربعاء","الخميس","الجمعة","السبت")</f>
        <v>الثلاثاء</v>
      </c>
      <c r="H13" s="17" t="n">
        <f aca="false">$B$2+INT((13-6)/3)*7+CHOOSE(MOD(13-6,3)+1,0,2,4)</f>
        <v>46322</v>
      </c>
      <c r="I13" s="15" t="str">
        <f aca="false">"E-COM TIP "&amp;A13</f>
        <v>E-COM TIP #08</v>
      </c>
      <c r="J13" s="12" t="s">
        <v>21</v>
      </c>
    </row>
    <row r="14" customFormat="false" ht="48" hidden="false" customHeight="true" outlineLevel="0" collapsed="false">
      <c r="A14" s="7" t="s">
        <v>64</v>
      </c>
      <c r="B14" s="8" t="s">
        <v>65</v>
      </c>
      <c r="C14" s="9" t="s">
        <v>66</v>
      </c>
      <c r="D14" s="9" t="s">
        <v>67</v>
      </c>
      <c r="E14" s="9" t="s">
        <v>68</v>
      </c>
      <c r="F14" s="9" t="s">
        <v>69</v>
      </c>
      <c r="G14" s="10" t="str">
        <f aca="false">CHOOSE(WEEKDAY(H14),"الأحد","الإثنين","الثلاثاء","الأربعاء","الخميس","الجمعة","السبت")</f>
        <v>الخميس</v>
      </c>
      <c r="H14" s="11" t="n">
        <f aca="false">$B$2+INT((14-6)/3)*7+CHOOSE(MOD(14-6,3)+1,0,2,4)</f>
        <v>46324</v>
      </c>
      <c r="I14" s="9" t="str">
        <f aca="false">"E-COM TIP "&amp;A14</f>
        <v>E-COM TIP #09</v>
      </c>
      <c r="J14" s="12" t="s">
        <v>21</v>
      </c>
    </row>
    <row r="15" customFormat="false" ht="48" hidden="false" customHeight="true" outlineLevel="0" collapsed="false">
      <c r="A15" s="13" t="s">
        <v>70</v>
      </c>
      <c r="B15" s="14" t="s">
        <v>71</v>
      </c>
      <c r="C15" s="15" t="s">
        <v>72</v>
      </c>
      <c r="D15" s="15" t="s">
        <v>73</v>
      </c>
      <c r="E15" s="15" t="s">
        <v>74</v>
      </c>
      <c r="F15" s="15" t="s">
        <v>75</v>
      </c>
      <c r="G15" s="16" t="str">
        <f aca="false">CHOOSE(WEEKDAY(H15),"الأحد","الإثنين","الثلاثاء","الأربعاء","الخميس","الجمعة","السبت")</f>
        <v>الأحد</v>
      </c>
      <c r="H15" s="17" t="n">
        <f aca="false">$B$2+INT((15-6)/3)*7+CHOOSE(MOD(15-6,3)+1,0,2,4)</f>
        <v>46327</v>
      </c>
      <c r="I15" s="15" t="str">
        <f aca="false">"E-COM TIP "&amp;A15</f>
        <v>E-COM TIP #10</v>
      </c>
      <c r="J15" s="12" t="s">
        <v>21</v>
      </c>
    </row>
    <row r="16" customFormat="false" ht="30" hidden="false" customHeight="true" outlineLevel="0" collapsed="false">
      <c r="A16" s="7" t="s">
        <v>76</v>
      </c>
      <c r="B16" s="8" t="s">
        <v>77</v>
      </c>
      <c r="C16" s="9" t="s">
        <v>78</v>
      </c>
      <c r="D16" s="9" t="s">
        <v>79</v>
      </c>
      <c r="E16" s="9"/>
      <c r="F16" s="9"/>
      <c r="G16" s="10" t="str">
        <f aca="false">CHOOSE(WEEKDAY(H16),"الأحد","الإثنين","الثلاثاء","الأربعاء","الخميس","الجمعة","السبت")</f>
        <v>الثلاثاء</v>
      </c>
      <c r="H16" s="11" t="n">
        <f aca="false">$B$2+INT((16-6)/3)*7+CHOOSE(MOD(16-6,3)+1,0,2,4)</f>
        <v>46329</v>
      </c>
      <c r="I16" s="9" t="str">
        <f aca="false">"E-COM TIP "&amp;A16</f>
        <v>E-COM TIP #11</v>
      </c>
      <c r="J16" s="12" t="s">
        <v>21</v>
      </c>
    </row>
    <row r="17" customFormat="false" ht="30" hidden="false" customHeight="true" outlineLevel="0" collapsed="false">
      <c r="A17" s="13" t="s">
        <v>80</v>
      </c>
      <c r="B17" s="14" t="s">
        <v>81</v>
      </c>
      <c r="C17" s="15" t="s">
        <v>82</v>
      </c>
      <c r="D17" s="15" t="s">
        <v>79</v>
      </c>
      <c r="E17" s="15"/>
      <c r="F17" s="15"/>
      <c r="G17" s="16" t="str">
        <f aca="false">CHOOSE(WEEKDAY(H17),"الأحد","الإثنين","الثلاثاء","الأربعاء","الخميس","الجمعة","السبت")</f>
        <v>الخميس</v>
      </c>
      <c r="H17" s="17" t="n">
        <f aca="false">$B$2+INT((17-6)/3)*7+CHOOSE(MOD(17-6,3)+1,0,2,4)</f>
        <v>46331</v>
      </c>
      <c r="I17" s="15" t="str">
        <f aca="false">"E-COM TIP "&amp;A17</f>
        <v>E-COM TIP #12</v>
      </c>
      <c r="J17" s="12" t="s">
        <v>21</v>
      </c>
    </row>
    <row r="18" customFormat="false" ht="30" hidden="false" customHeight="true" outlineLevel="0" collapsed="false">
      <c r="A18" s="7" t="s">
        <v>83</v>
      </c>
      <c r="B18" s="8" t="s">
        <v>84</v>
      </c>
      <c r="C18" s="9" t="s">
        <v>85</v>
      </c>
      <c r="D18" s="9" t="s">
        <v>79</v>
      </c>
      <c r="E18" s="9"/>
      <c r="F18" s="9"/>
      <c r="G18" s="10" t="str">
        <f aca="false">CHOOSE(WEEKDAY(H18),"الأحد","الإثنين","الثلاثاء","الأربعاء","الخميس","الجمعة","السبت")</f>
        <v>الأحد</v>
      </c>
      <c r="H18" s="11" t="n">
        <f aca="false">$B$2+INT((18-6)/3)*7+CHOOSE(MOD(18-6,3)+1,0,2,4)</f>
        <v>46334</v>
      </c>
      <c r="I18" s="9" t="str">
        <f aca="false">"E-COM TIP "&amp;A18</f>
        <v>E-COM TIP #13</v>
      </c>
      <c r="J18" s="12" t="s">
        <v>21</v>
      </c>
    </row>
    <row r="19" customFormat="false" ht="30" hidden="false" customHeight="true" outlineLevel="0" collapsed="false">
      <c r="A19" s="13" t="s">
        <v>86</v>
      </c>
      <c r="B19" s="14" t="s">
        <v>87</v>
      </c>
      <c r="C19" s="15" t="s">
        <v>88</v>
      </c>
      <c r="D19" s="15" t="s">
        <v>79</v>
      </c>
      <c r="E19" s="15"/>
      <c r="F19" s="15"/>
      <c r="G19" s="16" t="str">
        <f aca="false">CHOOSE(WEEKDAY(H19),"الأحد","الإثنين","الثلاثاء","الأربعاء","الخميس","الجمعة","السبت")</f>
        <v>الثلاثاء</v>
      </c>
      <c r="H19" s="17" t="n">
        <f aca="false">$B$2+INT((19-6)/3)*7+CHOOSE(MOD(19-6,3)+1,0,2,4)</f>
        <v>46336</v>
      </c>
      <c r="I19" s="15" t="str">
        <f aca="false">"E-COM TIP "&amp;A19</f>
        <v>E-COM TIP #14</v>
      </c>
      <c r="J19" s="12" t="s">
        <v>21</v>
      </c>
    </row>
    <row r="20" customFormat="false" ht="30" hidden="false" customHeight="true" outlineLevel="0" collapsed="false">
      <c r="A20" s="7" t="s">
        <v>89</v>
      </c>
      <c r="B20" s="8" t="s">
        <v>90</v>
      </c>
      <c r="C20" s="9" t="s">
        <v>91</v>
      </c>
      <c r="D20" s="9" t="s">
        <v>79</v>
      </c>
      <c r="E20" s="9"/>
      <c r="F20" s="9"/>
      <c r="G20" s="10" t="str">
        <f aca="false">CHOOSE(WEEKDAY(H20),"الأحد","الإثنين","الثلاثاء","الأربعاء","الخميس","الجمعة","السبت")</f>
        <v>الخميس</v>
      </c>
      <c r="H20" s="11" t="n">
        <f aca="false">$B$2+INT((20-6)/3)*7+CHOOSE(MOD(20-6,3)+1,0,2,4)</f>
        <v>46338</v>
      </c>
      <c r="I20" s="9" t="str">
        <f aca="false">"E-COM TIP "&amp;A20</f>
        <v>E-COM TIP #15</v>
      </c>
      <c r="J20" s="12" t="s">
        <v>21</v>
      </c>
    </row>
    <row r="21" customFormat="false" ht="30" hidden="false" customHeight="true" outlineLevel="0" collapsed="false">
      <c r="A21" s="13" t="s">
        <v>92</v>
      </c>
      <c r="B21" s="14" t="s">
        <v>93</v>
      </c>
      <c r="C21" s="15" t="s">
        <v>94</v>
      </c>
      <c r="D21" s="15" t="s">
        <v>79</v>
      </c>
      <c r="E21" s="15"/>
      <c r="F21" s="15"/>
      <c r="G21" s="16" t="str">
        <f aca="false">CHOOSE(WEEKDAY(H21),"الأحد","الإثنين","الثلاثاء","الأربعاء","الخميس","الجمعة","السبت")</f>
        <v>الأحد</v>
      </c>
      <c r="H21" s="17" t="n">
        <f aca="false">$B$2+INT((21-6)/3)*7+CHOOSE(MOD(21-6,3)+1,0,2,4)</f>
        <v>46341</v>
      </c>
      <c r="I21" s="15" t="str">
        <f aca="false">"E-COM TIP "&amp;A21</f>
        <v>E-COM TIP #16</v>
      </c>
      <c r="J21" s="12" t="s">
        <v>21</v>
      </c>
    </row>
    <row r="22" customFormat="false" ht="30" hidden="false" customHeight="true" outlineLevel="0" collapsed="false">
      <c r="A22" s="7" t="s">
        <v>95</v>
      </c>
      <c r="B22" s="8" t="s">
        <v>96</v>
      </c>
      <c r="C22" s="9" t="s">
        <v>97</v>
      </c>
      <c r="D22" s="9" t="s">
        <v>79</v>
      </c>
      <c r="E22" s="9"/>
      <c r="F22" s="9"/>
      <c r="G22" s="10" t="str">
        <f aca="false">CHOOSE(WEEKDAY(H22),"الأحد","الإثنين","الثلاثاء","الأربعاء","الخميس","الجمعة","السبت")</f>
        <v>الثلاثاء</v>
      </c>
      <c r="H22" s="11" t="n">
        <f aca="false">$B$2+INT((22-6)/3)*7+CHOOSE(MOD(22-6,3)+1,0,2,4)</f>
        <v>46343</v>
      </c>
      <c r="I22" s="9" t="str">
        <f aca="false">"E-COM TIP "&amp;A22</f>
        <v>E-COM TIP #17</v>
      </c>
      <c r="J22" s="12" t="s">
        <v>21</v>
      </c>
    </row>
    <row r="23" customFormat="false" ht="30" hidden="false" customHeight="true" outlineLevel="0" collapsed="false">
      <c r="A23" s="13" t="s">
        <v>98</v>
      </c>
      <c r="B23" s="14" t="s">
        <v>99</v>
      </c>
      <c r="C23" s="15" t="s">
        <v>100</v>
      </c>
      <c r="D23" s="15" t="s">
        <v>79</v>
      </c>
      <c r="E23" s="15"/>
      <c r="F23" s="15"/>
      <c r="G23" s="16" t="str">
        <f aca="false">CHOOSE(WEEKDAY(H23),"الأحد","الإثنين","الثلاثاء","الأربعاء","الخميس","الجمعة","السبت")</f>
        <v>الخميس</v>
      </c>
      <c r="H23" s="17" t="n">
        <f aca="false">$B$2+INT((23-6)/3)*7+CHOOSE(MOD(23-6,3)+1,0,2,4)</f>
        <v>46345</v>
      </c>
      <c r="I23" s="15" t="str">
        <f aca="false">"E-COM TIP "&amp;A23</f>
        <v>E-COM TIP #18</v>
      </c>
      <c r="J23" s="12" t="s">
        <v>21</v>
      </c>
    </row>
    <row r="24" customFormat="false" ht="30" hidden="false" customHeight="true" outlineLevel="0" collapsed="false">
      <c r="A24" s="7" t="s">
        <v>101</v>
      </c>
      <c r="B24" s="8" t="s">
        <v>102</v>
      </c>
      <c r="C24" s="9" t="s">
        <v>103</v>
      </c>
      <c r="D24" s="9" t="s">
        <v>79</v>
      </c>
      <c r="E24" s="9"/>
      <c r="F24" s="9"/>
      <c r="G24" s="10" t="str">
        <f aca="false">CHOOSE(WEEKDAY(H24),"الأحد","الإثنين","الثلاثاء","الأربعاء","الخميس","الجمعة","السبت")</f>
        <v>الأحد</v>
      </c>
      <c r="H24" s="11" t="n">
        <f aca="false">$B$2+INT((24-6)/3)*7+CHOOSE(MOD(24-6,3)+1,0,2,4)</f>
        <v>46348</v>
      </c>
      <c r="I24" s="9" t="str">
        <f aca="false">"E-COM TIP "&amp;A24</f>
        <v>E-COM TIP #19</v>
      </c>
      <c r="J24" s="12" t="s">
        <v>21</v>
      </c>
    </row>
    <row r="25" customFormat="false" ht="30" hidden="false" customHeight="true" outlineLevel="0" collapsed="false">
      <c r="A25" s="13" t="s">
        <v>104</v>
      </c>
      <c r="B25" s="14" t="s">
        <v>105</v>
      </c>
      <c r="C25" s="15" t="s">
        <v>106</v>
      </c>
      <c r="D25" s="15" t="s">
        <v>79</v>
      </c>
      <c r="E25" s="15"/>
      <c r="F25" s="15"/>
      <c r="G25" s="16" t="str">
        <f aca="false">CHOOSE(WEEKDAY(H25),"الأحد","الإثنين","الثلاثاء","الأربعاء","الخميس","الجمعة","السبت")</f>
        <v>الثلاثاء</v>
      </c>
      <c r="H25" s="17" t="n">
        <f aca="false">$B$2+INT((25-6)/3)*7+CHOOSE(MOD(25-6,3)+1,0,2,4)</f>
        <v>46350</v>
      </c>
      <c r="I25" s="15" t="str">
        <f aca="false">"E-COM TIP "&amp;A25</f>
        <v>E-COM TIP #20</v>
      </c>
      <c r="J25" s="12" t="s">
        <v>21</v>
      </c>
    </row>
  </sheetData>
  <mergeCells count="3">
    <mergeCell ref="A1:J1"/>
    <mergeCell ref="C2:J2"/>
    <mergeCell ref="C3:J3"/>
  </mergeCells>
  <conditionalFormatting sqref="J6:J25">
    <cfRule type="cellIs" priority="2" operator="equal" aboveAverage="0" equalAverage="0" bottom="0" percent="0" rank="0" text="" dxfId="0">
      <formula>"نشرت ✅"</formula>
    </cfRule>
  </conditionalFormatting>
  <dataValidations count="1">
    <dataValidation allowBlank="true" errorStyle="stop" operator="between" showDropDown="false" showErrorMessage="false" showInputMessage="false" sqref="J6:J25" type="list">
      <formula1>"ما بديتش,صوّرت 🎥,مونتاج ✂️,نشرت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2026-10-07T19:19:56Z</dcterms:created>
  <dc:creator>openpyxl</dc:creator>
  <dc:description/>
  <dc:language>en-US</dc:language>
  <cp:lastModifiedBy/>
  <dcterms:modified xsi:type="dcterms:W3CDTF">2026-10-07T19:19:56Z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