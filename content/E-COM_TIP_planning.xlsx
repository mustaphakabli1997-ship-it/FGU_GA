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-COM T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5B21B6"/>
      <sz val="11"/>
    </font>
    <font>
      <name val="Arial"/>
      <charset val="1"/>
      <family val="0"/>
      <color rgb="FF2A1B5E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5B21B6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40B34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2A1B5E"/>
        <bgColor rgb="FF140B34"/>
      </patternFill>
    </fill>
    <fill>
      <patternFill patternType="solid">
        <fgColor rgb="FFEDE9FE"/>
        <bgColor rgb="FFFF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B34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E9FE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1B6"/>
      <rgbColor rgb="FF2A1B5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5390625" defaultRowHeight="15" zeroHeight="0" outlineLevelRow="0"/>
  <cols>
    <col width="13" customWidth="1" style="18" min="1" max="1"/>
    <col width="16" customWidth="1" style="18" min="2" max="2"/>
    <col width="34" customWidth="1" style="18" min="3" max="3"/>
    <col width="38" customWidth="1" style="18" min="4" max="4"/>
    <col width="34" customWidth="1" style="18" min="5" max="5"/>
    <col width="26" customWidth="1" style="18" min="6" max="6"/>
    <col width="10" customWidth="1" style="18" min="7" max="7"/>
    <col width="12" customWidth="1" style="18" min="8" max="8"/>
    <col width="18" customWidth="1" style="18" min="9" max="9"/>
    <col width="14" customWidth="1" style="18" min="10" max="10"/>
  </cols>
  <sheetData>
    <row r="1" ht="33.75" customHeight="1" s="19">
      <c r="A1" s="20" t="inlineStr">
        <is>
          <t>سلسلة E-COM TIP — معلومة وحدة في كل فيديو  •  @kabli_ms</t>
        </is>
      </c>
    </row>
    <row r="2" ht="15" customHeight="1" s="19">
      <c r="A2" s="21" t="inlineStr">
        <is>
          <t>نهار البداية:</t>
        </is>
      </c>
      <c r="B2" s="22" t="n">
        <v>46306</v>
      </c>
      <c r="C2" s="23" t="inlineStr">
        <is>
          <t>← بدّل غير الخانات الصفراء: نهار البداية والحالة. التواريخ تتحسب وحدها: 3 فيديوهات في الجمعة (الأحد، الثلاثاء، الخميس).</t>
        </is>
      </c>
    </row>
    <row r="3" ht="15" customHeight="1" s="19">
      <c r="A3" s="21" t="inlineStr">
        <is>
          <t>منشورين:</t>
        </is>
      </c>
      <c r="B3" s="21">
        <f>COUNTIF(J6:J26,"نشرت ✅")&amp;" / "&amp;COUNTA(B6:B26)</f>
        <v/>
      </c>
      <c r="C3" s="24" t="inlineStr">
        <is>
          <t>CTA في آخر كل فيديو: «تابعني باش ما تفوتكش TIP الجاي. وحاب تبدا الـ sponsor؟ ابعثلي واتساب 0550 20 54 64»</t>
        </is>
      </c>
    </row>
    <row r="5" ht="25.5" customHeight="1" s="19">
      <c r="A5" s="25" t="inlineStr">
        <is>
          <t>#</t>
        </is>
      </c>
      <c r="B5" s="25" t="inlineStr">
        <is>
          <t>الموضوع</t>
        </is>
      </c>
      <c r="C5" s="25" t="inlineStr">
        <is>
          <t>الهوك (0-2 ث)</t>
        </is>
      </c>
      <c r="D5" s="25" t="inlineStr">
        <is>
          <t>المعلومة</t>
        </is>
      </c>
      <c r="E5" s="25" t="inlineStr">
        <is>
          <t>المثال</t>
        </is>
      </c>
      <c r="F5" s="25" t="inlineStr">
        <is>
          <t>الكلمات في الشاشة</t>
        </is>
      </c>
      <c r="G5" s="25" t="inlineStr">
        <is>
          <t>النهار</t>
        </is>
      </c>
      <c r="H5" s="25" t="inlineStr">
        <is>
          <t>التاريخ</t>
        </is>
      </c>
      <c r="I5" s="25" t="inlineStr">
        <is>
          <t>الهوك في المونتاج</t>
        </is>
      </c>
      <c r="J5" s="25" t="inlineStr">
        <is>
          <t>الحالة</t>
        </is>
      </c>
    </row>
    <row r="6" ht="48" customHeight="1" s="19">
      <c r="A6" s="26" t="inlineStr">
        <is>
          <t>#01</t>
        </is>
      </c>
      <c r="B6" s="27" t="inlineStr">
        <is>
          <t>فيديو شباب وما جابليش</t>
        </is>
      </c>
      <c r="C6" s="28" t="inlineStr">
        <is>
          <t>فيديو شباب… بصح ما جابليش؟</t>
        </is>
      </c>
      <c r="D6" s="28" t="inlineStr">
        <is>
          <t>الفيديو الشباب ماشي ديما يبيع: لازم يحبس الكليان في 3 ثواني ويفهم واش ينفعو</t>
        </is>
      </c>
      <c r="E6" s="28" t="inlineStr">
        <is>
          <t>شوف واش اللي مبدّل عندك على الناس الأخرين وقولو من البداية</t>
        </is>
      </c>
      <c r="F6" s="28" t="inlineStr">
        <is>
          <t>شحال من كليان 👥 · بدّل الفيديو 🔁 · لازم يحبسو ✋ · راحتلك البيعة 💸</t>
        </is>
      </c>
      <c r="G6" s="29">
        <f>CHOOSE(WEEKDAY(H6),"الأحد","الإثنين","الثلاثاء","الأربعاء","الخميس","الجمعة","السبت")</f>
        <v/>
      </c>
      <c r="H6" s="30">
        <f>$B$2+INT((6-6)/3)*7+CHOOSE(MOD(6-6,3)+1,0,2,4)</f>
        <v/>
      </c>
      <c r="I6" s="28">
        <f>"E-COM TIP "&amp;A6</f>
        <v/>
      </c>
      <c r="J6" s="31" t="inlineStr">
        <is>
          <t>مونتاج ✂️</t>
        </is>
      </c>
    </row>
    <row r="7" ht="48" customHeight="1" s="19">
      <c r="A7" s="32" t="inlineStr">
        <is>
          <t>#02</t>
        </is>
      </c>
      <c r="B7" s="33" t="inlineStr">
        <is>
          <t>Confirmation</t>
        </is>
      </c>
      <c r="C7" s="34" t="inlineStr">
        <is>
          <t>كوموند ما تكونفيرميهاش في نفس النهار؟ احسبها retour</t>
        </is>
      </c>
      <c r="D7" s="34" t="inlineStr">
        <is>
          <t>الكليان حاب المنتوج دروك؛ غدوة ينسى ولا يشري من عند واحد آخر</t>
        </is>
      </c>
      <c r="E7" s="34" t="inlineStr">
        <is>
          <t>كل ساعة شوف الكوموندات الجداد وعيّط</t>
        </is>
      </c>
      <c r="F7" s="34" t="inlineStr">
        <is>
          <t>confirmation 📞 · نفس النهار · retour ❌</t>
        </is>
      </c>
      <c r="G7" s="35">
        <f>CHOOSE(WEEKDAY(H7),"الأحد","الإثنين","الثلاثاء","الأربعاء","الخميس","الجمعة","السبت")</f>
        <v/>
      </c>
      <c r="H7" s="36">
        <f>$B$2+INT((7-6)/3)*7+CHOOSE(MOD(7-6,3)+1,0,2,4)</f>
        <v/>
      </c>
      <c r="I7" s="34">
        <f>"E-COM TIP "&amp;A7</f>
        <v/>
      </c>
      <c r="J7" s="31" t="inlineStr">
        <is>
          <t>ما بديتش</t>
        </is>
      </c>
    </row>
    <row r="8" ht="48" customHeight="1" s="19">
      <c r="A8" s="26" t="inlineStr">
        <is>
          <t>#03</t>
        </is>
      </c>
      <c r="B8" s="27" t="inlineStr">
        <is>
          <t>صور المنتوج</t>
        </is>
      </c>
      <c r="C8" s="28" t="inlineStr">
        <is>
          <t>صور AliExpress ما يبيعوش</t>
        </is>
      </c>
      <c r="D8" s="28" t="inlineStr">
        <is>
          <t>نفس الصورة عند بزاف تاع البائعين؛ صورة حقيقية تعطي ثقة</t>
        </is>
      </c>
      <c r="E8" s="28" t="inlineStr">
        <is>
          <t>صوّر بالتليفون في ضو النهار، 3 جيهات + فيديو قصير</t>
        </is>
      </c>
      <c r="F8" s="28" t="inlineStr">
        <is>
          <t>صور حقيقية 📸 · confiance 🤝</t>
        </is>
      </c>
      <c r="G8" s="29">
        <f>CHOOSE(WEEKDAY(H8),"الأحد","الإثنين","الثلاثاء","الأربعاء","الخميس","الجمعة","السبت")</f>
        <v/>
      </c>
      <c r="H8" s="30">
        <f>$B$2+INT((8-6)/3)*7+CHOOSE(MOD(8-6,3)+1,0,2,4)</f>
        <v/>
      </c>
      <c r="I8" s="28">
        <f>"E-COM TIP "&amp;A8</f>
        <v/>
      </c>
      <c r="J8" s="31" t="inlineStr">
        <is>
          <t>ما بديتش</t>
        </is>
      </c>
    </row>
    <row r="9" ht="48" customHeight="1" s="19">
      <c r="A9" s="32" t="inlineStr">
        <is>
          <t>#04</t>
        </is>
      </c>
      <c r="B9" s="33" t="inlineStr">
        <is>
          <t>حط le prix في الكريياتيف</t>
        </is>
      </c>
      <c r="C9" s="34" t="inlineStr">
        <is>
          <t>حط le prix… ولا لا؟</t>
        </is>
      </c>
      <c r="D9" s="34" t="inlineStr">
        <is>
          <t>بلا le prix: ميساجات بزاف «شحال؟» والكليان يسمع le prix ويروح</t>
        </is>
      </c>
      <c r="E9" s="34" t="inlineStr">
        <is>
          <t>حط le prix في الكريياتيف، قولو في الفيديو ولا ابدا بيه</t>
        </is>
      </c>
      <c r="F9" s="34" t="inlineStr">
        <is>
          <t>بلا le prix ❌ · شحال من ميساج؟ 💬 · حط le prix ✅ · intéressé ✅</t>
        </is>
      </c>
      <c r="G9" s="35">
        <f>CHOOSE(WEEKDAY(H9),"الأحد","الإثنين","الثلاثاء","الأربعاء","الخميس","الجمعة","السبت")</f>
        <v/>
      </c>
      <c r="H9" s="36">
        <f>$B$2+INT((9-6)/3)*7+CHOOSE(MOD(9-6,3)+1,0,2,4)</f>
        <v/>
      </c>
      <c r="I9" s="34">
        <f>"E-COM TIP "&amp;A9</f>
        <v/>
      </c>
      <c r="J9" s="31" t="inlineStr">
        <is>
          <t>مونتاج ✂️</t>
        </is>
      </c>
    </row>
    <row r="10" ht="48" customHeight="1" s="19">
      <c r="A10" s="26" t="inlineStr">
        <is>
          <t>#05</t>
        </is>
      </c>
      <c r="B10" s="27" t="inlineStr">
        <is>
          <t>جاوب بالزربة</t>
        </is>
      </c>
      <c r="C10" s="28" t="inlineStr">
        <is>
          <t>الميساج اللي تجاوبو غدوة، كليان راح</t>
        </is>
      </c>
      <c r="D10" s="28" t="inlineStr">
        <is>
          <t>الكليان يبعث لبزاف تاع البائعين؛ اللي يجاوب الأول يبيع</t>
        </is>
      </c>
      <c r="E10" s="28" t="inlineStr">
        <is>
          <t>réponses rapides في WhatsApp Business / Messenger</t>
        </is>
      </c>
      <c r="F10" s="28" t="inlineStr">
        <is>
          <t>جاوب بالزربة 💬</t>
        </is>
      </c>
      <c r="G10" s="29">
        <f>CHOOSE(WEEKDAY(H10),"الأحد","الإثنين","الثلاثاء","الأربعاء","الخميس","الجمعة","السبت")</f>
        <v/>
      </c>
      <c r="H10" s="30">
        <f>$B$2+INT((10-6)/3)*7+CHOOSE(MOD(10-6,3)+1,0,2,4)</f>
        <v/>
      </c>
      <c r="I10" s="28">
        <f>"E-COM TIP "&amp;A10</f>
        <v/>
      </c>
      <c r="J10" s="31" t="inlineStr">
        <is>
          <t>ما بديتش</t>
        </is>
      </c>
    </row>
    <row r="11" ht="48" customHeight="1" s="19">
      <c r="A11" s="32" t="inlineStr">
        <is>
          <t>#06</t>
        </is>
      </c>
      <c r="B11" s="33" t="inlineStr">
        <is>
          <t>هوك الإعلان</t>
        </is>
      </c>
      <c r="C11" s="34" t="inlineStr">
        <is>
          <t>الإعلان تاعك يخسر في 3 ثواني الأولى</t>
        </is>
      </c>
      <c r="D11" s="34" t="inlineStr">
        <is>
          <t>الناس يسكرولي بالزربة؛ البداية لازم تشدهم</t>
        </is>
      </c>
      <c r="E11" s="34" t="inlineStr">
        <is>
          <t>ابدا بالمشكل ولا النتيجة، ماشي «السلام عليكم اليوم جبتلكم»</t>
        </is>
      </c>
      <c r="F11" s="34" t="inlineStr">
        <is>
          <t>3 ثواني ⏱️ · ابدا بالمشكل</t>
        </is>
      </c>
      <c r="G11" s="35">
        <f>CHOOSE(WEEKDAY(H11),"الأحد","الإثنين","الثلاثاء","الأربعاء","الخميس","الجمعة","السبت")</f>
        <v/>
      </c>
      <c r="H11" s="36">
        <f>$B$2+INT((11-6)/3)*7+CHOOSE(MOD(11-6,3)+1,0,2,4)</f>
        <v/>
      </c>
      <c r="I11" s="34">
        <f>"E-COM TIP "&amp;A11</f>
        <v/>
      </c>
      <c r="J11" s="31" t="inlineStr">
        <is>
          <t>ما بديتش</t>
        </is>
      </c>
    </row>
    <row r="12" ht="48" customHeight="1" s="19">
      <c r="A12" s="26" t="inlineStr">
        <is>
          <t>#07</t>
        </is>
      </c>
      <c r="B12" s="27" t="inlineStr">
        <is>
          <t>جرّب أكثر من إعلان</t>
        </is>
      </c>
      <c r="C12" s="28" t="inlineStr">
        <is>
          <t>إعلان واحد = حظ</t>
        </is>
      </c>
      <c r="D12" s="28" t="inlineStr">
        <is>
          <t>ما تعرفش واش يعجب الناس حتى تجرب</t>
        </is>
      </c>
      <c r="E12" s="28" t="inlineStr">
        <is>
          <t>2 ولا 3 فيديوهات بهوك مختلف، نفس البيدجي، خلّي الرابح</t>
        </is>
      </c>
      <c r="F12" s="28" t="inlineStr">
        <is>
          <t>test 🎬</t>
        </is>
      </c>
      <c r="G12" s="29">
        <f>CHOOSE(WEEKDAY(H12),"الأحد","الإثنين","الثلاثاء","الأربعاء","الخميس","الجمعة","السبت")</f>
        <v/>
      </c>
      <c r="H12" s="30">
        <f>$B$2+INT((12-6)/3)*7+CHOOSE(MOD(12-6,3)+1,0,2,4)</f>
        <v/>
      </c>
      <c r="I12" s="28">
        <f>"E-COM TIP "&amp;A12</f>
        <v/>
      </c>
      <c r="J12" s="31" t="inlineStr">
        <is>
          <t>ما بديتش</t>
        </is>
      </c>
    </row>
    <row r="13" ht="48" customHeight="1" s="19">
      <c r="A13" s="32" t="inlineStr">
        <is>
          <t>#08</t>
        </is>
      </c>
      <c r="B13" s="33" t="inlineStr">
        <is>
          <t>الإعلان الرابح</t>
        </is>
      </c>
      <c r="C13" s="34" t="inlineStr">
        <is>
          <t>الإعلان راه يجيب؟ ما تقيسوش</t>
        </is>
      </c>
      <c r="D13" s="34" t="inlineStr">
        <is>
          <t>كل تبديل يخلّي Meta تعاود تتعلم من الصفر</t>
        </is>
      </c>
      <c r="E13" s="34" t="inlineStr">
        <is>
          <t>حاجة جديدة = إعلان جديد جنبو</t>
        </is>
      </c>
      <c r="F13" s="34" t="inlineStr">
        <is>
          <t>ما تقيسوش ✋</t>
        </is>
      </c>
      <c r="G13" s="35">
        <f>CHOOSE(WEEKDAY(H13),"الأحد","الإثنين","الثلاثاء","الأربعاء","الخميس","الجمعة","السبت")</f>
        <v/>
      </c>
      <c r="H13" s="36">
        <f>$B$2+INT((13-6)/3)*7+CHOOSE(MOD(13-6,3)+1,0,2,4)</f>
        <v/>
      </c>
      <c r="I13" s="34">
        <f>"E-COM TIP "&amp;A13</f>
        <v/>
      </c>
      <c r="J13" s="31" t="inlineStr">
        <is>
          <t>ما بديتش</t>
        </is>
      </c>
    </row>
    <row r="14" ht="48" customHeight="1" s="19">
      <c r="A14" s="26" t="inlineStr">
        <is>
          <t>#09</t>
        </is>
      </c>
      <c r="B14" s="27" t="inlineStr">
        <is>
          <t>البيدجي بالشوية</t>
        </is>
      </c>
      <c r="C14" s="28" t="inlineStr">
        <is>
          <t>زدت البيدجي ضعف وطاح كلش؟</t>
        </is>
      </c>
      <c r="D14" s="28" t="inlineStr">
        <is>
          <t>الزيادة الكبيرة مرة وحدة تخلط الإعلان</t>
        </is>
      </c>
      <c r="E14" s="28" t="inlineStr">
        <is>
          <t>زيد حوالي 20% كل 2 ولا 3 أيام</t>
        </is>
      </c>
      <c r="F14" s="28" t="inlineStr">
        <is>
          <t>بالشوية 📈</t>
        </is>
      </c>
      <c r="G14" s="29">
        <f>CHOOSE(WEEKDAY(H14),"الأحد","الإثنين","الثلاثاء","الأربعاء","الخميس","الجمعة","السبت")</f>
        <v/>
      </c>
      <c r="H14" s="30">
        <f>$B$2+INT((14-6)/3)*7+CHOOSE(MOD(14-6,3)+1,0,2,4)</f>
        <v/>
      </c>
      <c r="I14" s="28">
        <f>"E-COM TIP "&amp;A14</f>
        <v/>
      </c>
      <c r="J14" s="31" t="inlineStr">
        <is>
          <t>ما بديتش</t>
        </is>
      </c>
    </row>
    <row r="15" ht="48" customHeight="1" s="19">
      <c r="A15" s="32" t="inlineStr">
        <is>
          <t>#10</t>
        </is>
      </c>
      <c r="B15" s="33" t="inlineStr">
        <is>
          <t>Pixel Meta</t>
        </is>
      </c>
      <c r="C15" s="34" t="inlineStr">
        <is>
          <t>بلا Pixel راك تعلن بلا عينين</t>
        </is>
      </c>
      <c r="D15" s="34" t="inlineStr">
        <is>
          <t>Pixel يقول لـ Meta شكون شرا باش تجيب ناس كيفهم</t>
        </is>
      </c>
      <c r="E15" s="34" t="inlineStr">
        <is>
          <t>ركّبو في الستور وتأكد يسجل الكوموندات</t>
        </is>
      </c>
      <c r="F15" s="34" t="inlineStr">
        <is>
          <t>Pixel Meta 🎯</t>
        </is>
      </c>
      <c r="G15" s="35">
        <f>CHOOSE(WEEKDAY(H15),"الأحد","الإثنين","الثلاثاء","الأربعاء","الخميس","الجمعة","السبت")</f>
        <v/>
      </c>
      <c r="H15" s="36">
        <f>$B$2+INT((15-6)/3)*7+CHOOSE(MOD(15-6,3)+1,0,2,4)</f>
        <v/>
      </c>
      <c r="I15" s="34">
        <f>"E-COM TIP "&amp;A15</f>
        <v/>
      </c>
      <c r="J15" s="31" t="inlineStr">
        <is>
          <t>ما بديتش</t>
        </is>
      </c>
    </row>
    <row r="16" ht="48" customHeight="1" s="19">
      <c r="A16" s="26" t="inlineStr">
        <is>
          <t>#11</t>
        </is>
      </c>
      <c r="B16" s="27" t="inlineStr">
        <is>
          <t>آراء الكليان</t>
        </is>
      </c>
      <c r="C16" s="28" t="inlineStr">
        <is>
          <t>الكليان ما يتيقش فيك؟ خلّي كليان آخر يهدر</t>
        </is>
      </c>
      <c r="D16" s="28" t="inlineStr">
        <is>
          <t>الناس يتيقو في كليان كيفهم أكثر من البائع</t>
        </is>
      </c>
      <c r="E16" s="28" t="inlineStr">
        <is>
          <t>اطلب فيديو ولا صورة رأي بعد التوصيل (بالإذن تاعو)</t>
        </is>
      </c>
      <c r="F16" s="28" t="inlineStr">
        <is>
          <t>آراء الكليان ⭐</t>
        </is>
      </c>
      <c r="G16" s="29">
        <f>CHOOSE(WEEKDAY(H16),"الأحد","الإثنين","الثلاثاء","الأربعاء","الخميس","الجمعة","السبت")</f>
        <v/>
      </c>
      <c r="H16" s="30">
        <f>$B$2+INT((16-6)/3)*7+CHOOSE(MOD(16-6,3)+1,0,2,4)</f>
        <v/>
      </c>
      <c r="I16" s="28">
        <f>"E-COM TIP "&amp;A16</f>
        <v/>
      </c>
      <c r="J16" s="31" t="inlineStr">
        <is>
          <t>ما بديتش</t>
        </is>
      </c>
    </row>
    <row r="17" ht="30" customHeight="1" s="19">
      <c r="A17" s="32" t="inlineStr">
        <is>
          <t>#12</t>
        </is>
      </c>
      <c r="B17" s="33" t="inlineStr">
        <is>
          <t>Offre / bundle</t>
        </is>
      </c>
      <c r="C17" s="34" t="inlineStr">
        <is>
          <t>زيد للكليان سبة باش يشري جوج</t>
        </is>
      </c>
      <c r="D17" s="34" t="inlineStr">
        <is>
          <t>(السكريبت من بعد)</t>
        </is>
      </c>
      <c r="E17" s="34" t="n"/>
      <c r="F17" s="34" t="n"/>
      <c r="G17" s="35">
        <f>CHOOSE(WEEKDAY(H17),"الأحد","الإثنين","الثلاثاء","الأربعاء","الخميس","الجمعة","السبت")</f>
        <v/>
      </c>
      <c r="H17" s="36">
        <f>$B$2+INT((17-6)/3)*7+CHOOSE(MOD(17-6,3)+1,0,2,4)</f>
        <v/>
      </c>
      <c r="I17" s="34">
        <f>"E-COM TIP "&amp;A17</f>
        <v/>
      </c>
      <c r="J17" s="31" t="inlineStr">
        <is>
          <t>ما بديتش</t>
        </is>
      </c>
    </row>
    <row r="18" ht="30" customHeight="1" s="19">
      <c r="A18" s="26" t="inlineStr">
        <is>
          <t>#13</t>
        </is>
      </c>
      <c r="B18" s="27" t="inlineStr">
        <is>
          <t>Livraison</t>
        </is>
      </c>
      <c r="C18" s="28" t="inlineStr">
        <is>
          <t>اختار société de livraison مليحة، الـ retour يكلفك</t>
        </is>
      </c>
      <c r="D18" s="28" t="inlineStr">
        <is>
          <t>(السكريبت من بعد)</t>
        </is>
      </c>
      <c r="E18" s="28" t="n"/>
      <c r="F18" s="28" t="n"/>
      <c r="G18" s="29">
        <f>CHOOSE(WEEKDAY(H18),"الأحد","الإثنين","الثلاثاء","الأربعاء","الخميس","الجمعة","السبت")</f>
        <v/>
      </c>
      <c r="H18" s="30">
        <f>$B$2+INT((18-6)/3)*7+CHOOSE(MOD(18-6,3)+1,0,2,4)</f>
        <v/>
      </c>
      <c r="I18" s="28">
        <f>"E-COM TIP "&amp;A18</f>
        <v/>
      </c>
      <c r="J18" s="31" t="inlineStr">
        <is>
          <t>ما بديتش</t>
        </is>
      </c>
    </row>
    <row r="19" ht="30" customHeight="1" s="19">
      <c r="A19" s="32" t="inlineStr">
        <is>
          <t>#14</t>
        </is>
      </c>
      <c r="B19" s="33" t="inlineStr">
        <is>
          <t>Angle différent</t>
        </is>
      </c>
      <c r="C19" s="34" t="inlineStr">
        <is>
          <t>الموديل يتسرق، الطريقة تاعك ما تتسرقش</t>
        </is>
      </c>
      <c r="D19" s="34" t="inlineStr">
        <is>
          <t>(السكريبت من بعد)</t>
        </is>
      </c>
      <c r="E19" s="34" t="n"/>
      <c r="F19" s="34" t="n"/>
      <c r="G19" s="35">
        <f>CHOOSE(WEEKDAY(H19),"الأحد","الإثنين","الثلاثاء","الأربعاء","الخميس","الجمعة","السبت")</f>
        <v/>
      </c>
      <c r="H19" s="36">
        <f>$B$2+INT((19-6)/3)*7+CHOOSE(MOD(19-6,3)+1,0,2,4)</f>
        <v/>
      </c>
      <c r="I19" s="34">
        <f>"E-COM TIP "&amp;A19</f>
        <v/>
      </c>
      <c r="J19" s="31" t="inlineStr">
        <is>
          <t>ما بديتش</t>
        </is>
      </c>
    </row>
    <row r="20" ht="30" customHeight="1" s="19">
      <c r="A20" s="26" t="inlineStr">
        <is>
          <t>#15</t>
        </is>
      </c>
      <c r="B20" s="27" t="inlineStr">
        <is>
          <t>ميساج التأكيد</t>
        </is>
      </c>
      <c r="C20" s="28" t="inlineStr">
        <is>
          <t>ميساج واتساب واحد ينقص الـ retours</t>
        </is>
      </c>
      <c r="D20" s="28" t="inlineStr">
        <is>
          <t>(السكريبت من بعد)</t>
        </is>
      </c>
      <c r="E20" s="28" t="n"/>
      <c r="F20" s="28" t="n"/>
      <c r="G20" s="29">
        <f>CHOOSE(WEEKDAY(H20),"الأحد","الإثنين","الثلاثاء","الأربعاء","الخميس","الجمعة","السبت")</f>
        <v/>
      </c>
      <c r="H20" s="30">
        <f>$B$2+INT((20-6)/3)*7+CHOOSE(MOD(20-6,3)+1,0,2,4)</f>
        <v/>
      </c>
      <c r="I20" s="28">
        <f>"E-COM TIP "&amp;A20</f>
        <v/>
      </c>
      <c r="J20" s="31" t="inlineStr">
        <is>
          <t>ما بديتش</t>
        </is>
      </c>
    </row>
    <row r="21" ht="30" customHeight="1" s="19">
      <c r="A21" s="32" t="inlineStr">
        <is>
          <t>#16</t>
        </is>
      </c>
      <c r="B21" s="33" t="inlineStr">
        <is>
          <t>منتوج saturé</t>
        </is>
      </c>
      <c r="C21" s="34" t="inlineStr">
        <is>
          <t>المنتوج اللي راه عند الكل صعيب تربح فيه</t>
        </is>
      </c>
      <c r="D21" s="34" t="inlineStr">
        <is>
          <t>(السكريبت من بعد)</t>
        </is>
      </c>
      <c r="E21" s="34" t="n"/>
      <c r="F21" s="34" t="n"/>
      <c r="G21" s="35">
        <f>CHOOSE(WEEKDAY(H21),"الأحد","الإثنين","الثلاثاء","الأربعاء","الخميس","الجمعة","السبت")</f>
        <v/>
      </c>
      <c r="H21" s="36">
        <f>$B$2+INT((21-6)/3)*7+CHOOSE(MOD(21-6,3)+1,0,2,4)</f>
        <v/>
      </c>
      <c r="I21" s="34">
        <f>"E-COM TIP "&amp;A21</f>
        <v/>
      </c>
      <c r="J21" s="31" t="inlineStr">
        <is>
          <t>ما بديتش</t>
        </is>
      </c>
    </row>
    <row r="22" ht="30" customHeight="1" s="19">
      <c r="A22" s="26" t="inlineStr">
        <is>
          <t>#17</t>
        </is>
      </c>
      <c r="B22" s="27" t="inlineStr">
        <is>
          <t>الاسم واللوغو</t>
        </is>
      </c>
      <c r="C22" s="28" t="inlineStr">
        <is>
          <t>ماركة بسيطة = ثقة أكثر</t>
        </is>
      </c>
      <c r="D22" s="28" t="inlineStr">
        <is>
          <t>(السكريبت من بعد)</t>
        </is>
      </c>
      <c r="E22" s="28" t="n"/>
      <c r="F22" s="28" t="n"/>
      <c r="G22" s="29">
        <f>CHOOSE(WEEKDAY(H22),"الأحد","الإثنين","الثلاثاء","الأربعاء","الخميس","الجمعة","السبت")</f>
        <v/>
      </c>
      <c r="H22" s="30">
        <f>$B$2+INT((22-6)/3)*7+CHOOSE(MOD(22-6,3)+1,0,2,4)</f>
        <v/>
      </c>
      <c r="I22" s="28">
        <f>"E-COM TIP "&amp;A22</f>
        <v/>
      </c>
      <c r="J22" s="31" t="inlineStr">
        <is>
          <t>ما بديتش</t>
        </is>
      </c>
    </row>
    <row r="23" ht="30" customHeight="1" s="19">
      <c r="A23" s="32" t="inlineStr">
        <is>
          <t>#18</t>
        </is>
      </c>
      <c r="B23" s="33" t="inlineStr">
        <is>
          <t>وصف المنتوج</t>
        </is>
      </c>
      <c r="C23" s="34" t="inlineStr">
        <is>
          <t>اكتب الفايدة، ماشي غير المواصفات</t>
        </is>
      </c>
      <c r="D23" s="34" t="inlineStr">
        <is>
          <t>(السكريبت من بعد)</t>
        </is>
      </c>
      <c r="E23" s="34" t="n"/>
      <c r="F23" s="34" t="n"/>
      <c r="G23" s="35">
        <f>CHOOSE(WEEKDAY(H23),"الأحد","الإثنين","الثلاثاء","الأربعاء","الخميس","الجمعة","السبت")</f>
        <v/>
      </c>
      <c r="H23" s="36">
        <f>$B$2+INT((23-6)/3)*7+CHOOSE(MOD(23-6,3)+1,0,2,4)</f>
        <v/>
      </c>
      <c r="I23" s="34">
        <f>"E-COM TIP "&amp;A23</f>
        <v/>
      </c>
      <c r="J23" s="31" t="inlineStr">
        <is>
          <t>ما بديتش</t>
        </is>
      </c>
    </row>
    <row r="24" ht="30" customHeight="1" s="19">
      <c r="A24" s="26" t="inlineStr">
        <is>
          <t>#19</t>
        </is>
      </c>
      <c r="B24" s="27" t="inlineStr">
        <is>
          <t>تتبّع الأرقام</t>
        </is>
      </c>
      <c r="C24" s="28" t="inlineStr">
        <is>
          <t>اكتب كل نهار: pub، commandes، retours</t>
        </is>
      </c>
      <c r="D24" s="28" t="inlineStr">
        <is>
          <t>(السكريبت من بعد)</t>
        </is>
      </c>
      <c r="E24" s="28" t="n"/>
      <c r="F24" s="28" t="n"/>
      <c r="G24" s="29">
        <f>CHOOSE(WEEKDAY(H24),"الأحد","الإثنين","الثلاثاء","الأربعاء","الخميس","الجمعة","السبت")</f>
        <v/>
      </c>
      <c r="H24" s="30">
        <f>$B$2+INT((24-6)/3)*7+CHOOSE(MOD(24-6,3)+1,0,2,4)</f>
        <v/>
      </c>
      <c r="I24" s="28">
        <f>"E-COM TIP "&amp;A24</f>
        <v/>
      </c>
      <c r="J24" s="31" t="inlineStr">
        <is>
          <t>ما بديتش</t>
        </is>
      </c>
    </row>
    <row r="25" ht="30" customHeight="1" s="19">
      <c r="A25" s="32" t="inlineStr">
        <is>
          <t>#20</t>
        </is>
      </c>
      <c r="B25" s="33" t="inlineStr">
        <is>
          <t>Landing page</t>
        </is>
      </c>
      <c r="C25" s="34" t="inlineStr">
        <is>
          <t>ميساجات بزاف وكوموند قليلة؟ جرّب landing page</t>
        </is>
      </c>
      <c r="D25" s="34" t="inlineStr">
        <is>
          <t>(السكريبت من بعد)</t>
        </is>
      </c>
      <c r="E25" s="34" t="n"/>
      <c r="F25" s="34" t="n"/>
      <c r="G25" s="35">
        <f>CHOOSE(WEEKDAY(H25),"الأحد","الإثنين","الثلاثاء","الأربعاء","الخميس","الجمعة","السبت")</f>
        <v/>
      </c>
      <c r="H25" s="36">
        <f>$B$2+INT((25-6)/3)*7+CHOOSE(MOD(25-6,3)+1,0,2,4)</f>
        <v/>
      </c>
      <c r="I25" s="34">
        <f>"E-COM TIP "&amp;A25</f>
        <v/>
      </c>
      <c r="J25" s="31" t="inlineStr">
        <is>
          <t>ما بديتش</t>
        </is>
      </c>
    </row>
    <row r="26" ht="30" customHeight="1" s="19">
      <c r="A26" s="32" t="inlineStr">
        <is>
          <t>#21</t>
        </is>
      </c>
      <c r="B26" s="33" t="inlineStr">
        <is>
          <t>الربح الحقيقي</t>
        </is>
      </c>
      <c r="C26" s="34" t="inlineStr">
        <is>
          <t>راك تربح ولا تحسب غلط؟</t>
        </is>
      </c>
      <c r="D26" s="34" t="inlineStr">
        <is>
          <t>الربح = البيع ناقص الشراء، livraison، pub، retours</t>
        </is>
      </c>
      <c r="E26" s="34" t="inlineStr">
        <is>
          <t>اكتبها في ورقة لكل كوموند</t>
        </is>
      </c>
      <c r="F26" s="34" t="inlineStr">
        <is>
          <t>الربح الحقيقي 💰 · pub · retours</t>
        </is>
      </c>
      <c r="G26" s="35">
        <f>CHOOSE(WEEKDAY(H26),"الأحد","الإثنين","الثلاثاء","الأربعاء","الخميس","الجمعة","السبت")</f>
        <v/>
      </c>
      <c r="H26" s="36">
        <f>$B$2+INT((26-6)/3)*7+CHOOSE(MOD(26-6,3)+1,0,2,4)</f>
        <v/>
      </c>
      <c r="I26" s="34">
        <f>"E-COM TIP "&amp;A26</f>
        <v/>
      </c>
      <c r="J26" s="31" t="inlineStr">
        <is>
          <t>ما بديتش</t>
        </is>
      </c>
    </row>
  </sheetData>
  <mergeCells count="3">
    <mergeCell ref="A1:J1"/>
    <mergeCell ref="C2:J2"/>
    <mergeCell ref="C3:J3"/>
  </mergeCells>
  <conditionalFormatting sqref="J6:J26">
    <cfRule type="cellIs" rank="0" priority="2" equalAverage="0" operator="equal" aboveAverage="0" dxfId="0" text="" percent="0" bottom="0">
      <formula>"نشرت ✅"</formula>
    </cfRule>
  </conditionalFormatting>
  <dataValidations count="1">
    <dataValidation sqref="J6:J26" showDropDown="0" showInputMessage="0" showErrorMessage="0" allowBlank="1" type="list" errorStyle="stop" operator="between">
      <formula1>"ما بديتش,صوّرت 🎥,مونتاج ✂️,نشرت ✅"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2026-10-09T16:21:34Z</dcterms:created>
  <dcterms:modified xsi:type="dcterms:W3CDTF">2026-10-17T15:08:10Z</dcterms:modified>
  <cp:revision>0</cp:revision>
</cp:coreProperties>
</file>